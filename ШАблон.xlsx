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.AAG\Desktop\"/>
    </mc:Choice>
  </mc:AlternateContent>
  <xr:revisionPtr revIDLastSave="0" documentId="8_{BE285BF4-77E4-4CD6-B7BA-FA9C171B4D48}" xr6:coauthVersionLast="37" xr6:coauthVersionMax="37" xr10:uidLastSave="{00000000-0000-0000-0000-000000000000}"/>
  <bookViews>
    <workbookView xWindow="480" yWindow="75" windowWidth="27795" windowHeight="12345" xr2:uid="{00000000-000D-0000-FFFF-FFFF00000000}"/>
  </bookViews>
  <sheets>
    <sheet name="Лист1" sheetId="1" r:id="rId1"/>
    <sheet name="Лист2" sheetId="2" r:id="rId2"/>
    <sheet name="Лист3" sheetId="3" r:id="rId3"/>
  </sheets>
  <calcPr calcId="179021" refMode="R1C1"/>
</workbook>
</file>

<file path=xl/calcChain.xml><?xml version="1.0" encoding="utf-8"?>
<calcChain xmlns="http://schemas.openxmlformats.org/spreadsheetml/2006/main">
  <c r="R3" i="1" l="1"/>
  <c r="S3" i="1" s="1"/>
  <c r="W3" i="1" s="1"/>
  <c r="R4" i="1"/>
  <c r="S4" i="1" s="1"/>
  <c r="W4" i="1" s="1"/>
  <c r="R5" i="1"/>
  <c r="S5" i="1" s="1"/>
  <c r="W5" i="1" s="1"/>
  <c r="R6" i="1"/>
  <c r="S6" i="1" s="1"/>
  <c r="W6" i="1" s="1"/>
  <c r="R2" i="1"/>
  <c r="S2" i="1" s="1"/>
  <c r="W2" i="1" s="1"/>
</calcChain>
</file>

<file path=xl/sharedStrings.xml><?xml version="1.0" encoding="utf-8"?>
<sst xmlns="http://schemas.openxmlformats.org/spreadsheetml/2006/main" count="78" uniqueCount="56">
  <si>
    <t>ID</t>
  </si>
  <si>
    <t>Дата и время</t>
  </si>
  <si>
    <t>№ карты</t>
  </si>
  <si>
    <t>Закреплена за</t>
  </si>
  <si>
    <t>Номер АЗС</t>
  </si>
  <si>
    <t>Поставщик</t>
  </si>
  <si>
    <t>Регион</t>
  </si>
  <si>
    <t>Нас. пункт</t>
  </si>
  <si>
    <t>Местоположение</t>
  </si>
  <si>
    <t>Местоположение (код)</t>
  </si>
  <si>
    <t>Товар / услуга</t>
  </si>
  <si>
    <t>Кол-во</t>
  </si>
  <si>
    <t>Тип</t>
  </si>
  <si>
    <t>Валюта транзакции</t>
  </si>
  <si>
    <t>Курс конвертации</t>
  </si>
  <si>
    <t>Цена</t>
  </si>
  <si>
    <t>Цена со скидкой</t>
  </si>
  <si>
    <t>Сумма</t>
  </si>
  <si>
    <t xml:space="preserve">Сумма со скидкой </t>
  </si>
  <si>
    <t>Скидка, %</t>
  </si>
  <si>
    <t xml:space="preserve">Сумма скидки </t>
  </si>
  <si>
    <t>Ставка НДС</t>
  </si>
  <si>
    <t>Сумма НДС</t>
  </si>
  <si>
    <t>1222334441</t>
  </si>
  <si>
    <t>1234 1234 1234 1000</t>
  </si>
  <si>
    <t>А 728 ОЕ 93 ОУ</t>
  </si>
  <si>
    <t xml:space="preserve">ООО "Ромашка-Центр" </t>
  </si>
  <si>
    <t>г.Москва</t>
  </si>
  <si>
    <t>Москва</t>
  </si>
  <si>
    <t>Дизельное топливо</t>
  </si>
  <si>
    <t>Покупка</t>
  </si>
  <si>
    <t>RUВ</t>
  </si>
  <si>
    <t>1222334442</t>
  </si>
  <si>
    <t>К 442 КЕ 88 АК</t>
  </si>
  <si>
    <t>ООО "Ромашка-ЮГ"</t>
  </si>
  <si>
    <t>Краснодарский край</t>
  </si>
  <si>
    <t>с.Полесье</t>
  </si>
  <si>
    <t>АИ-95</t>
  </si>
  <si>
    <t>1222334443</t>
  </si>
  <si>
    <t>К 444 КЕ 88 АК</t>
  </si>
  <si>
    <t>1222334444</t>
  </si>
  <si>
    <t>А 389 КЕ 93 ОУ</t>
  </si>
  <si>
    <t>Архангельская область</t>
  </si>
  <si>
    <t>с.Ромашково</t>
  </si>
  <si>
    <t>АИ-92</t>
  </si>
  <si>
    <t>1222334445</t>
  </si>
  <si>
    <t>Возврат</t>
  </si>
  <si>
    <t>АЗС №212 "Ромашка"</t>
  </si>
  <si>
    <t>1234 1234 1234 1200</t>
  </si>
  <si>
    <t>1234 1234 1234 1400</t>
  </si>
  <si>
    <t>АЗС №111 "Ромашка"</t>
  </si>
  <si>
    <t>АЗС №313 "Ромашка"</t>
  </si>
  <si>
    <t>ООО "Ромашка-Север"</t>
  </si>
  <si>
    <t>с.Полесье, трасса К9</t>
  </si>
  <si>
    <t>с.Ромашково, трасса 1А</t>
  </si>
  <si>
    <t>Москва, МКАД 10 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</si>
</sst>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dd/mm/yy\ h:mm;@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name val="Calibri"/>
    </font>
    <font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3" fillId="0" borderId="1" xfId="2" applyNumberFormat="1" applyFont="1" applyBorder="1" applyAlignment="1">
      <alignment horizontal="center" vertical="center" wrapText="1"/>
    </xf>
    <xf numFmtId="0" fontId="4" fillId="0" borderId="2" xfId="2" applyNumberFormat="1" applyFont="1" applyBorder="1" applyAlignment="1">
      <alignment horizontal="left"/>
    </xf>
    <xf numFmtId="0" fontId="4" fillId="0" borderId="0" xfId="2" applyNumberFormat="1" applyFont="1" applyAlignment="1">
      <alignment horizontal="left"/>
    </xf>
    <xf numFmtId="0" fontId="4" fillId="0" borderId="0" xfId="2" applyNumberFormat="1" applyFont="1" applyAlignment="1">
      <alignment horizontal="center"/>
    </xf>
    <xf numFmtId="2" fontId="4" fillId="0" borderId="0" xfId="2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49" fontId="4" fillId="0" borderId="0" xfId="2" applyNumberFormat="1" applyFont="1" applyAlignment="1">
      <alignment horizontal="left"/>
    </xf>
    <xf numFmtId="49" fontId="5" fillId="0" borderId="0" xfId="2" applyNumberFormat="1" applyFont="1" applyAlignment="1">
      <alignment horizontal="left"/>
    </xf>
    <xf numFmtId="0" fontId="5" fillId="0" borderId="0" xfId="2" applyNumberFormat="1" applyFont="1" applyAlignment="1">
      <alignment horizontal="left"/>
    </xf>
    <xf numFmtId="164" fontId="4" fillId="0" borderId="0" xfId="2" applyNumberFormat="1" applyFont="1" applyAlignment="1">
      <alignment horizontal="left"/>
    </xf>
  </cellXfs>
  <cellStyles count="3">
    <cellStyle name="Денежный" xfId="1" builtinId="4"/>
    <cellStyle name="Обычный" xfId="0" builtinId="0"/>
    <cellStyle name="Обычный_Лист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E37" sqref="E36:E37"/>
    </sheetView>
  </sheetViews>
  <sheetFormatPr defaultRowHeight="15" x14ac:dyDescent="0.25"/>
  <cols>
    <col min="1" max="1" width="16.28515625" customWidth="1"/>
    <col min="2" max="2" width="21.28515625" customWidth="1"/>
    <col min="3" max="3" width="22.42578125" customWidth="1"/>
    <col min="4" max="4" width="19.85546875" customWidth="1"/>
    <col min="5" max="5" width="21.7109375" bestFit="1" customWidth="1"/>
    <col min="6" max="6" width="23" bestFit="1" customWidth="1"/>
    <col min="7" max="7" width="22.42578125" bestFit="1" customWidth="1"/>
    <col min="8" max="8" width="13.140625" bestFit="1" customWidth="1"/>
    <col min="9" max="9" width="22.85546875" bestFit="1" customWidth="1"/>
    <col min="10" max="10" width="18.140625" customWidth="1"/>
    <col min="11" max="11" width="19.42578125" bestFit="1" customWidth="1"/>
  </cols>
  <sheetData>
    <row r="1" spans="1:2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11">
        <v>44381.548611111109</v>
      </c>
      <c r="C2" s="8" t="s">
        <v>24</v>
      </c>
      <c r="D2" s="3" t="s">
        <v>25</v>
      </c>
      <c r="E2" s="10" t="s">
        <v>50</v>
      </c>
      <c r="F2" s="3" t="s">
        <v>26</v>
      </c>
      <c r="G2" s="3" t="s">
        <v>27</v>
      </c>
      <c r="H2" s="3" t="s">
        <v>28</v>
      </c>
      <c r="I2" s="10" t="s">
        <v>55</v>
      </c>
      <c r="J2" s="4">
        <v>111</v>
      </c>
      <c r="K2" s="4" t="s">
        <v>29</v>
      </c>
      <c r="L2" s="4" t="s">
        <v>30</v>
      </c>
      <c r="M2" s="5">
        <v>50</v>
      </c>
      <c r="N2" s="4" t="s">
        <v>31</v>
      </c>
      <c r="O2" s="4">
        <v>1</v>
      </c>
      <c r="P2" s="5">
        <v>50</v>
      </c>
      <c r="Q2" s="6">
        <v>50</v>
      </c>
      <c r="R2" s="6">
        <f>Q2*M2</f>
        <v>2500</v>
      </c>
      <c r="S2" s="6">
        <f>R2-U2</f>
        <v>2500</v>
      </c>
      <c r="T2" s="7">
        <v>0</v>
      </c>
      <c r="U2" s="7">
        <v>0</v>
      </c>
      <c r="V2" s="7">
        <v>20</v>
      </c>
      <c r="W2" s="6">
        <f>S2*V2/100</f>
        <v>500</v>
      </c>
    </row>
    <row r="3" spans="1:23" x14ac:dyDescent="0.25">
      <c r="A3" s="2" t="s">
        <v>32</v>
      </c>
      <c r="B3" s="11">
        <v>44380.695833333331</v>
      </c>
      <c r="C3" s="9" t="s">
        <v>48</v>
      </c>
      <c r="D3" s="3" t="s">
        <v>33</v>
      </c>
      <c r="E3" s="3" t="s">
        <v>47</v>
      </c>
      <c r="F3" s="3" t="s">
        <v>34</v>
      </c>
      <c r="G3" s="3" t="s">
        <v>35</v>
      </c>
      <c r="H3" s="3" t="s">
        <v>36</v>
      </c>
      <c r="I3" s="10" t="s">
        <v>53</v>
      </c>
      <c r="J3" s="4">
        <v>212</v>
      </c>
      <c r="K3" s="4" t="s">
        <v>37</v>
      </c>
      <c r="L3" s="4" t="s">
        <v>30</v>
      </c>
      <c r="M3" s="5">
        <v>40</v>
      </c>
      <c r="N3" s="4" t="s">
        <v>31</v>
      </c>
      <c r="O3" s="4">
        <v>1</v>
      </c>
      <c r="P3" s="5">
        <v>54</v>
      </c>
      <c r="Q3" s="6">
        <v>54</v>
      </c>
      <c r="R3" s="6">
        <f t="shared" ref="R3:R6" si="0">Q3*M3</f>
        <v>2160</v>
      </c>
      <c r="S3" s="6">
        <f t="shared" ref="S3:S6" si="1">R3-U3</f>
        <v>2160</v>
      </c>
      <c r="T3" s="7">
        <v>0</v>
      </c>
      <c r="U3" s="7">
        <v>0</v>
      </c>
      <c r="V3" s="7">
        <v>20</v>
      </c>
      <c r="W3" s="6">
        <f t="shared" ref="W3:W6" si="2">S3*V3/100</f>
        <v>432</v>
      </c>
    </row>
    <row r="4" spans="1:23" x14ac:dyDescent="0.25">
      <c r="A4" s="2" t="s">
        <v>38</v>
      </c>
      <c r="B4" s="11">
        <v>44381.807199074072</v>
      </c>
      <c r="C4" s="9" t="s">
        <v>48</v>
      </c>
      <c r="D4" s="3" t="s">
        <v>39</v>
      </c>
      <c r="E4" s="3" t="s">
        <v>47</v>
      </c>
      <c r="F4" s="3" t="s">
        <v>34</v>
      </c>
      <c r="G4" s="3" t="s">
        <v>35</v>
      </c>
      <c r="H4" s="3" t="s">
        <v>36</v>
      </c>
      <c r="I4" s="10" t="s">
        <v>53</v>
      </c>
      <c r="J4" s="4">
        <v>212</v>
      </c>
      <c r="K4" s="4" t="s">
        <v>37</v>
      </c>
      <c r="L4" s="4" t="s">
        <v>30</v>
      </c>
      <c r="M4" s="5">
        <v>30</v>
      </c>
      <c r="N4" s="4" t="s">
        <v>31</v>
      </c>
      <c r="O4" s="4">
        <v>1</v>
      </c>
      <c r="P4" s="5">
        <v>54</v>
      </c>
      <c r="Q4" s="6">
        <v>54</v>
      </c>
      <c r="R4" s="6">
        <f t="shared" si="0"/>
        <v>1620</v>
      </c>
      <c r="S4" s="6">
        <f t="shared" si="1"/>
        <v>1620</v>
      </c>
      <c r="T4" s="7">
        <v>0</v>
      </c>
      <c r="U4" s="7">
        <v>0</v>
      </c>
      <c r="V4" s="7">
        <v>20</v>
      </c>
      <c r="W4" s="6">
        <f t="shared" si="2"/>
        <v>324</v>
      </c>
    </row>
    <row r="5" spans="1:23" x14ac:dyDescent="0.25">
      <c r="A5" s="2" t="s">
        <v>40</v>
      </c>
      <c r="B5" s="11">
        <v>44382.601388888892</v>
      </c>
      <c r="C5" s="9" t="s">
        <v>49</v>
      </c>
      <c r="D5" s="3" t="s">
        <v>41</v>
      </c>
      <c r="E5" s="10" t="s">
        <v>51</v>
      </c>
      <c r="F5" s="10" t="s">
        <v>52</v>
      </c>
      <c r="G5" s="3" t="s">
        <v>42</v>
      </c>
      <c r="H5" s="3" t="s">
        <v>43</v>
      </c>
      <c r="I5" s="10" t="s">
        <v>54</v>
      </c>
      <c r="J5" s="4">
        <v>313</v>
      </c>
      <c r="K5" s="4" t="s">
        <v>44</v>
      </c>
      <c r="L5" s="4" t="s">
        <v>30</v>
      </c>
      <c r="M5" s="5">
        <v>40</v>
      </c>
      <c r="N5" s="4" t="s">
        <v>31</v>
      </c>
      <c r="O5" s="4">
        <v>1</v>
      </c>
      <c r="P5" s="5">
        <v>50</v>
      </c>
      <c r="Q5" s="6">
        <v>47.5</v>
      </c>
      <c r="R5" s="6">
        <f t="shared" si="0"/>
        <v>1900</v>
      </c>
      <c r="S5" s="6">
        <f t="shared" si="1"/>
        <v>1800</v>
      </c>
      <c r="T5" s="7">
        <v>10</v>
      </c>
      <c r="U5" s="6">
        <v>100</v>
      </c>
      <c r="V5" s="7">
        <v>20</v>
      </c>
      <c r="W5" s="6">
        <f t="shared" si="2"/>
        <v>360</v>
      </c>
    </row>
    <row r="6" spans="1:23" x14ac:dyDescent="0.25">
      <c r="A6" s="2" t="s">
        <v>45</v>
      </c>
      <c r="B6" s="11">
        <v>44382.604745370372</v>
      </c>
      <c r="C6" s="9" t="s">
        <v>49</v>
      </c>
      <c r="D6" s="3" t="s">
        <v>41</v>
      </c>
      <c r="E6" s="10" t="s">
        <v>51</v>
      </c>
      <c r="F6" s="10" t="s">
        <v>52</v>
      </c>
      <c r="G6" s="3" t="s">
        <v>42</v>
      </c>
      <c r="H6" s="3" t="s">
        <v>43</v>
      </c>
      <c r="I6" s="10" t="s">
        <v>54</v>
      </c>
      <c r="J6" s="4">
        <v>313</v>
      </c>
      <c r="K6" s="4" t="s">
        <v>44</v>
      </c>
      <c r="L6" s="4" t="s">
        <v>46</v>
      </c>
      <c r="M6" s="5">
        <v>-2</v>
      </c>
      <c r="N6" s="4" t="s">
        <v>31</v>
      </c>
      <c r="O6" s="4">
        <v>1</v>
      </c>
      <c r="P6" s="5">
        <v>50</v>
      </c>
      <c r="Q6" s="6">
        <v>47.5</v>
      </c>
      <c r="R6" s="6">
        <f t="shared" si="0"/>
        <v>-95</v>
      </c>
      <c r="S6" s="6">
        <f t="shared" si="1"/>
        <v>-90</v>
      </c>
      <c r="T6" s="7">
        <v>10</v>
      </c>
      <c r="U6" s="6">
        <v>-5</v>
      </c>
      <c r="V6" s="7">
        <v>20</v>
      </c>
      <c r="W6" s="6">
        <f t="shared" si="2"/>
        <v>-18</v>
      </c>
    </row>
  </sheetData>
  <pageMargins left="0.7" right="0.7" top="0.75" bottom="0.75" header="0.3" footer="0.3"/>
  <pageSetup paperSize="9" orientation="portrait" r:id="rId1"/>
  <ignoredErrors>
    <ignoredError sqref="C2:C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Рарус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Шкурла</dc:creator>
  <cp:lastModifiedBy>Администратор</cp:lastModifiedBy>
  <dcterms:created xsi:type="dcterms:W3CDTF">2021-08-06T07:11:23Z</dcterms:created>
  <dcterms:modified xsi:type="dcterms:W3CDTF">2025-12-08T08:26:55Z</dcterms:modified>
</cp:coreProperties>
</file>